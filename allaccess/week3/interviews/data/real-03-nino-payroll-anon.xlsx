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აპრილი 2025" sheetId="1" state="visible" r:id="rId1"/>
  </sheets>
  <definedNames>
    <definedName name="_xlnm._FilterDatabase" localSheetId="0" hidden="1">'აპრილი 2025'!$A$1:$A$47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Merriweather"/>
      <color theme="1"/>
      <sz val="11"/>
      <scheme val="minor"/>
    </font>
    <font>
      <name val="Merriweather"/>
      <color theme="1"/>
      <sz val="11"/>
    </font>
    <font>
      <name val="Merriweather"/>
      <color theme="1"/>
      <sz val="11"/>
      <scheme val="minor"/>
    </font>
    <font>
      <name val="Merriweather"/>
      <sz val="11"/>
      <scheme val="minor"/>
    </font>
    <font>
      <name val="Merriweather"/>
      <color theme="1"/>
      <sz val="14"/>
      <scheme val="minor"/>
    </font>
    <font>
      <name val="Merriweather"/>
      <b val="1"/>
      <color theme="1"/>
      <sz val="12"/>
      <scheme val="minor"/>
    </font>
    <font>
      <name val="Merriweather"/>
      <b val="1"/>
      <sz val="12"/>
      <scheme val="minor"/>
    </font>
    <font>
      <name val="Merriweather"/>
      <b val="1"/>
      <color theme="1"/>
      <sz val="12"/>
    </font>
    <font>
      <name val="Merriweather"/>
      <b val="1"/>
      <i val="1"/>
      <color theme="1"/>
      <sz val="14"/>
    </font>
    <font>
      <name val="Merriweather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2" fillId="0" borderId="0"/>
  </cellStyleXfs>
  <cellXfs count="65">
    <xf numFmtId="0" fontId="0" fillId="0" borderId="0" pivotButton="0" quotePrefix="0" xfId="0"/>
    <xf numFmtId="2" fontId="1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1" fillId="2" borderId="5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2" fontId="0" fillId="0" borderId="4" applyAlignment="1" pivotButton="0" quotePrefix="0" xfId="0">
      <alignment horizontal="center"/>
    </xf>
    <xf numFmtId="2" fontId="0" fillId="0" borderId="0" pivotButton="0" quotePrefix="0" xfId="0"/>
    <xf numFmtId="2" fontId="0" fillId="2" borderId="6" applyAlignment="1" pivotButton="0" quotePrefix="0" xfId="0">
      <alignment horizontal="center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2" fontId="8" fillId="0" borderId="11" applyAlignment="1" pivotButton="0" quotePrefix="0" xfId="0">
      <alignment horizontal="center"/>
    </xf>
    <xf numFmtId="2" fontId="8" fillId="0" borderId="12" applyAlignment="1" pivotButton="0" quotePrefix="0" xfId="0">
      <alignment horizontal="center"/>
    </xf>
    <xf numFmtId="2" fontId="9" fillId="0" borderId="0" pivotButton="0" quotePrefix="0" xfId="0"/>
    <xf numFmtId="2" fontId="1" fillId="0" borderId="1" applyAlignment="1" pivotButton="0" quotePrefix="0" xfId="0">
      <alignment horizontal="center"/>
    </xf>
    <xf numFmtId="2" fontId="0" fillId="0" borderId="4" applyAlignment="1" pivotButton="0" quotePrefix="0" xfId="0">
      <alignment horizontal="center"/>
    </xf>
    <xf numFmtId="2" fontId="1" fillId="3" borderId="5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2" fontId="1" fillId="0" borderId="5" applyAlignment="1" pivotButton="0" quotePrefix="0" xfId="0">
      <alignment horizontal="center"/>
    </xf>
    <xf numFmtId="2" fontId="0" fillId="0" borderId="6" applyAlignment="1" pivotButton="0" quotePrefix="0" xfId="0">
      <alignment horizontal="center"/>
    </xf>
    <xf numFmtId="2" fontId="0" fillId="3" borderId="0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0" pivotButton="0" quotePrefix="0" xfId="0"/>
    <xf numFmtId="2" fontId="0" fillId="3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5" fillId="4" borderId="8" applyAlignment="1" pivotButton="0" quotePrefix="0" xfId="0">
      <alignment horizontal="center" vertical="center"/>
    </xf>
    <xf numFmtId="2" fontId="1" fillId="4" borderId="8" applyAlignment="1" pivotButton="0" quotePrefix="0" xfId="0">
      <alignment horizontal="center"/>
    </xf>
    <xf numFmtId="0" fontId="0" fillId="4" borderId="1" pivotButton="0" quotePrefix="0" xfId="0"/>
    <xf numFmtId="0" fontId="0" fillId="4" borderId="0" pivotButton="0" quotePrefix="0" xfId="0"/>
    <xf numFmtId="0" fontId="6" fillId="4" borderId="2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/>
    </xf>
    <xf numFmtId="2" fontId="1" fillId="4" borderId="1" applyAlignment="1" pivotButton="0" quotePrefix="0" xfId="0">
      <alignment horizontal="center"/>
    </xf>
    <xf numFmtId="0" fontId="5" fillId="4" borderId="2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/>
    </xf>
    <xf numFmtId="2" fontId="0" fillId="4" borderId="1" pivotButton="0" quotePrefix="0" xfId="0"/>
    <xf numFmtId="0" fontId="7" fillId="4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2" fontId="1" fillId="3" borderId="9" applyAlignment="1" pivotButton="0" quotePrefix="0" xfId="0">
      <alignment horizontal="center"/>
    </xf>
    <xf numFmtId="2" fontId="1" fillId="2" borderId="9" applyAlignment="1" pivotButton="0" quotePrefix="0" xfId="0">
      <alignment horizontal="center"/>
    </xf>
    <xf numFmtId="0" fontId="0" fillId="5" borderId="1" pivotButton="0" quotePrefix="0" xfId="0"/>
    <xf numFmtId="0" fontId="1" fillId="5" borderId="5" applyAlignment="1" pivotButton="0" quotePrefix="0" xfId="0">
      <alignment horizontal="center"/>
    </xf>
    <xf numFmtId="2" fontId="0" fillId="6" borderId="1" applyAlignment="1" pivotButton="0" quotePrefix="0" xfId="0">
      <alignment horizontal="center"/>
    </xf>
    <xf numFmtId="2" fontId="1" fillId="6" borderId="5" applyAlignment="1" pivotButton="0" quotePrefix="0" xfId="0">
      <alignment horizontal="center"/>
    </xf>
    <xf numFmtId="2" fontId="1" fillId="2" borderId="13" applyAlignment="1" pivotButton="0" quotePrefix="0" xfId="0">
      <alignment horizontal="center"/>
    </xf>
    <xf numFmtId="2" fontId="1" fillId="3" borderId="14" applyAlignment="1" pivotButton="0" quotePrefix="0" xfId="0">
      <alignment horizontal="center"/>
    </xf>
    <xf numFmtId="2" fontId="1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erriweather"/>
        <a:ea typeface="Merriweather"/>
        <a:cs typeface="Merriweather"/>
      </a:majorFont>
      <a:minorFont>
        <a:latin typeface="Merriweather"/>
        <a:ea typeface="Merriweather"/>
        <a:cs typeface="Merriweath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tabSelected="1" zoomScale="73" zoomScaleNormal="73" workbookViewId="0">
      <pane ySplit="1" topLeftCell="A26" activePane="bottomLeft" state="frozen"/>
      <selection pane="bottomLeft" activeCell="J33" sqref="J33"/>
    </sheetView>
  </sheetViews>
  <sheetFormatPr baseColWidth="8" defaultRowHeight="15.6"/>
  <cols>
    <col width="39.1640625" customWidth="1" style="36" min="1" max="1"/>
    <col width="36.5" customWidth="1" style="36" min="2" max="2"/>
    <col width="21.83203125" customWidth="1" style="6" min="3" max="3"/>
    <col hidden="1" width="0.1640625" customWidth="1" style="6" min="4" max="4"/>
    <col width="12.75" customWidth="1" style="6" min="5" max="5"/>
    <col hidden="1" width="0.75" customWidth="1" style="6" min="6" max="6"/>
    <col width="12.83203125" customWidth="1" style="6" min="7" max="7"/>
    <col width="18" customWidth="1" style="6" min="8" max="8"/>
    <col width="12" customWidth="1" style="6" min="9" max="10"/>
    <col width="34.25" customWidth="1" style="36" min="11" max="11"/>
  </cols>
  <sheetData>
    <row r="1" ht="49.5" customFormat="1" customHeight="1" s="8" thickBot="1">
      <c r="A1" s="20" t="inlineStr">
        <is>
          <t>სახელი და გვარი</t>
        </is>
      </c>
      <c r="B1" s="21" t="inlineStr">
        <is>
          <t>პოზიცია</t>
        </is>
      </c>
      <c r="C1" s="22" t="inlineStr">
        <is>
          <t>ხელფასი</t>
        </is>
      </c>
      <c r="D1" s="22" t="inlineStr">
        <is>
          <t>ანაზღაურება</t>
        </is>
      </c>
      <c r="E1" s="22" t="inlineStr">
        <is>
          <t>ბონუსი</t>
        </is>
      </c>
      <c r="F1" s="22" t="inlineStr">
        <is>
          <t>%</t>
        </is>
      </c>
      <c r="G1" s="22" t="inlineStr">
        <is>
          <t>ზედ.საათ.</t>
        </is>
      </c>
      <c r="H1" s="22" t="inlineStr">
        <is>
          <t xml:space="preserve">ასაღები თანხა </t>
        </is>
      </c>
      <c r="I1" s="23">
        <f t="array" ref="I1">I1:I20ხელზე</f>
        <v/>
      </c>
      <c r="J1" s="23" t="inlineStr">
        <is>
          <t>დარიცხვა</t>
        </is>
      </c>
      <c r="K1" s="38" t="n"/>
    </row>
    <row r="2" ht="34.8" customFormat="1" customHeight="1" s="43">
      <c r="A2" s="40" t="inlineStr">
        <is>
          <t>თანამშრომელი 01</t>
        </is>
      </c>
      <c r="B2" s="40" t="inlineStr">
        <is>
          <t>სასტუმროს ადმინისტრატორი</t>
        </is>
      </c>
      <c r="C2" s="41" t="n">
        <v>1400</v>
      </c>
      <c r="D2" s="41" t="n"/>
      <c r="E2" s="41" t="n"/>
      <c r="F2" s="41" t="n"/>
      <c r="G2" s="41" t="n"/>
      <c r="H2" s="41" t="n"/>
      <c r="I2" s="56" t="n">
        <v>400</v>
      </c>
      <c r="J2" s="57" t="n">
        <v>1000</v>
      </c>
      <c r="K2" s="42" t="n"/>
    </row>
    <row r="3" ht="36" customHeight="1" s="36">
      <c r="A3" s="19" t="inlineStr">
        <is>
          <t>თანამშრომელი 02</t>
        </is>
      </c>
      <c r="B3" s="19" t="inlineStr">
        <is>
          <t>სასტუმროს მენეჯერი</t>
        </is>
      </c>
      <c r="C3" s="34" t="n">
        <v>2500</v>
      </c>
      <c r="D3" s="34" t="n"/>
      <c r="E3" s="34" t="n"/>
      <c r="F3" s="34" t="n"/>
      <c r="G3" s="34" t="n"/>
      <c r="H3" s="25" t="n"/>
      <c r="I3" s="27" t="n">
        <v>500</v>
      </c>
      <c r="J3" s="3" t="n">
        <v>2000</v>
      </c>
      <c r="K3" s="39" t="n"/>
    </row>
    <row r="4" ht="34.8" customHeight="1" s="36">
      <c r="A4" s="19" t="inlineStr">
        <is>
          <t>თანამშრომელი 03</t>
        </is>
      </c>
      <c r="B4" s="19" t="inlineStr">
        <is>
          <t>სასტუმროს ადმინისტრატორი</t>
        </is>
      </c>
      <c r="C4" s="34" t="n">
        <v>600</v>
      </c>
      <c r="D4" s="34" t="n"/>
      <c r="E4" s="34" t="n"/>
      <c r="F4" s="34" t="n"/>
      <c r="G4" s="34" t="n">
        <v>180</v>
      </c>
      <c r="H4" s="25" t="n"/>
      <c r="I4" s="61" t="n">
        <v>380</v>
      </c>
      <c r="J4" s="3" t="n">
        <v>400</v>
      </c>
      <c r="K4" s="39" t="n"/>
    </row>
    <row r="5" ht="27.6" customHeight="1" s="36">
      <c r="A5" s="11" t="inlineStr">
        <is>
          <t>თანამშრომელი 04</t>
        </is>
      </c>
      <c r="B5" s="19" t="inlineStr">
        <is>
          <t>მძღოლი</t>
        </is>
      </c>
      <c r="C5" s="33" t="n">
        <v>1000</v>
      </c>
      <c r="D5" s="33" t="n"/>
      <c r="E5" s="34" t="n"/>
      <c r="F5" s="34" t="n"/>
      <c r="G5" s="34" t="n"/>
      <c r="H5" s="25" t="n"/>
      <c r="I5" s="27" t="n">
        <v>1000</v>
      </c>
      <c r="J5" s="3" t="n"/>
      <c r="K5" s="39" t="n"/>
    </row>
    <row r="6" ht="27" customFormat="1" customHeight="1" s="43">
      <c r="A6" s="44" t="inlineStr">
        <is>
          <t>თანამშრომელი 05</t>
        </is>
      </c>
      <c r="B6" s="45" t="inlineStr">
        <is>
          <t>მძღოლი/ტექნიკოსი</t>
        </is>
      </c>
      <c r="C6" s="46" t="n">
        <v>1200</v>
      </c>
      <c r="D6" s="46" t="n"/>
      <c r="E6" s="47" t="n">
        <v>100</v>
      </c>
      <c r="F6" s="47" t="n"/>
      <c r="G6" s="47" t="n"/>
      <c r="H6" s="48" t="n"/>
      <c r="I6" s="27" t="n">
        <v>500</v>
      </c>
      <c r="J6" s="3" t="n">
        <v>800</v>
      </c>
      <c r="K6" s="42" t="n"/>
    </row>
    <row r="7" ht="28.2" customHeight="1" s="36">
      <c r="A7" s="13" t="inlineStr">
        <is>
          <t>თანამშრომელი 06</t>
        </is>
      </c>
      <c r="B7" s="12" t="inlineStr">
        <is>
          <t>შეფ მზარეული</t>
        </is>
      </c>
      <c r="C7" s="17" t="n">
        <v>4000</v>
      </c>
      <c r="D7" s="17" t="n"/>
      <c r="E7" s="25" t="n"/>
      <c r="F7" s="25" t="n"/>
      <c r="G7" s="25" t="n"/>
      <c r="H7" s="25" t="n"/>
      <c r="I7" s="63" t="n"/>
      <c r="J7" s="3" t="n">
        <v>4000</v>
      </c>
      <c r="K7" s="39" t="n"/>
    </row>
    <row r="8" ht="28.2" customHeight="1" s="36">
      <c r="A8" s="13" t="inlineStr">
        <is>
          <t>თანამშრომელი 07</t>
        </is>
      </c>
      <c r="B8" s="12" t="inlineStr">
        <is>
          <t>მზარეული</t>
        </is>
      </c>
      <c r="C8" s="17" t="n">
        <v>1000</v>
      </c>
      <c r="D8" s="17" t="n"/>
      <c r="E8" s="25" t="n"/>
      <c r="F8" s="25" t="n"/>
      <c r="G8" s="25" t="n"/>
      <c r="H8" s="29" t="n"/>
      <c r="I8" s="64" t="n">
        <v>385</v>
      </c>
      <c r="J8" s="62" t="n"/>
      <c r="K8" s="39" t="n"/>
    </row>
    <row r="9" ht="28.2" customHeight="1" s="36">
      <c r="A9" s="13" t="inlineStr">
        <is>
          <t>თანამშრომელი 08</t>
        </is>
      </c>
      <c r="B9" s="12" t="inlineStr">
        <is>
          <t>მცხობელი/მზარეული</t>
        </is>
      </c>
      <c r="C9" s="17" t="n">
        <v>1700</v>
      </c>
      <c r="D9" s="17" t="n"/>
      <c r="E9" s="25" t="n"/>
      <c r="F9" s="25" t="n"/>
      <c r="G9" s="25" t="n"/>
      <c r="H9" s="25" t="n"/>
      <c r="I9" s="64" t="n">
        <v>850</v>
      </c>
      <c r="J9" s="3" t="n">
        <v>850</v>
      </c>
      <c r="K9" s="58" t="n"/>
    </row>
    <row r="10" ht="28.2" customHeight="1" s="36">
      <c r="A10" s="13" t="inlineStr">
        <is>
          <t>თანამშრომელი 09</t>
        </is>
      </c>
      <c r="B10" s="12" t="inlineStr">
        <is>
          <t>მზარეული</t>
        </is>
      </c>
      <c r="C10" s="17" t="n">
        <v>1700</v>
      </c>
      <c r="D10" s="17" t="n"/>
      <c r="E10" s="25" t="n"/>
      <c r="F10" s="25" t="n"/>
      <c r="G10" s="25" t="n"/>
      <c r="H10" s="25" t="n"/>
      <c r="I10" s="31" t="n">
        <v>700</v>
      </c>
      <c r="J10" s="3" t="n">
        <v>1000</v>
      </c>
      <c r="K10" s="39" t="n"/>
    </row>
    <row r="11" ht="29.4" customHeight="1" s="36">
      <c r="A11" s="32" t="inlineStr">
        <is>
          <t>თანამშრომელი 10</t>
        </is>
      </c>
      <c r="B11" s="19" t="inlineStr">
        <is>
          <t>მზარეული</t>
        </is>
      </c>
      <c r="C11" s="33" t="n">
        <v>1700</v>
      </c>
      <c r="D11" s="33" t="n"/>
      <c r="E11" s="34" t="n"/>
      <c r="F11" s="34" t="n"/>
      <c r="G11" s="34" t="n"/>
      <c r="H11" s="25" t="n"/>
      <c r="I11" s="27" t="n">
        <v>200</v>
      </c>
      <c r="J11" s="3" t="n">
        <v>1500</v>
      </c>
      <c r="K11" s="39" t="n"/>
    </row>
    <row r="12" ht="29.4" customHeight="1" s="36">
      <c r="A12" s="32" t="inlineStr">
        <is>
          <t>თანამშრომელი 11</t>
        </is>
      </c>
      <c r="B12" s="19" t="inlineStr">
        <is>
          <t>მიმტანის დამხმარე</t>
        </is>
      </c>
      <c r="C12" s="33" t="inlineStr">
        <is>
          <t>დღეში 30 ლარი</t>
        </is>
      </c>
      <c r="D12" s="33" t="n"/>
      <c r="E12" s="34" t="n"/>
      <c r="F12" s="34" t="n"/>
      <c r="G12" s="34" t="n"/>
      <c r="H12" s="25" t="n"/>
      <c r="I12" s="61" t="n">
        <v>120</v>
      </c>
      <c r="J12" s="3" t="n"/>
      <c r="K12" s="39" t="n"/>
    </row>
    <row r="13" ht="29.4" customFormat="1" customHeight="1" s="43">
      <c r="A13" s="49" t="inlineStr">
        <is>
          <t>თანამშრომელი 12</t>
        </is>
      </c>
      <c r="B13" s="50" t="inlineStr">
        <is>
          <t>მიმტანის დამხმარე</t>
        </is>
      </c>
      <c r="C13" s="51" t="inlineStr">
        <is>
          <t>დღეში 30 ლარი</t>
        </is>
      </c>
      <c r="D13" s="51" t="n"/>
      <c r="E13" s="52" t="n"/>
      <c r="F13" s="52" t="n"/>
      <c r="G13" s="52" t="n"/>
      <c r="H13" s="48" t="n"/>
      <c r="I13" s="61" t="n">
        <v>630</v>
      </c>
      <c r="J13" s="3" t="n"/>
      <c r="K13" s="42" t="n"/>
    </row>
    <row r="14" ht="28.5" customFormat="1" customHeight="1" s="43">
      <c r="A14" s="49" t="inlineStr">
        <is>
          <t>თანამშრომელი 13</t>
        </is>
      </c>
      <c r="B14" s="50" t="inlineStr">
        <is>
          <t>მიმტანი</t>
        </is>
      </c>
      <c r="C14" s="51" t="inlineStr">
        <is>
          <t>დღეში 50 ლარი</t>
        </is>
      </c>
      <c r="D14" s="52" t="n"/>
      <c r="E14" s="52" t="n"/>
      <c r="F14" s="52" t="n"/>
      <c r="G14" s="52" t="n">
        <v>20</v>
      </c>
      <c r="H14" s="48" t="n"/>
      <c r="I14" s="60" t="n">
        <v>270</v>
      </c>
      <c r="J14" s="3" t="n"/>
      <c r="K14" s="42" t="n"/>
    </row>
    <row r="15" ht="28.5" customFormat="1" customHeight="1" s="43">
      <c r="A15" s="49" t="inlineStr">
        <is>
          <t>თანამშრომელი 14</t>
        </is>
      </c>
      <c r="B15" s="50" t="inlineStr">
        <is>
          <t>მიმტანი</t>
        </is>
      </c>
      <c r="C15" s="51" t="inlineStr">
        <is>
          <t>დღეში 50 ლარი</t>
        </is>
      </c>
      <c r="D15" s="52" t="n"/>
      <c r="E15" s="52" t="n"/>
      <c r="F15" s="52" t="n"/>
      <c r="G15" s="52" t="n"/>
      <c r="H15" s="48" t="n"/>
      <c r="I15" s="37" t="n">
        <v>0</v>
      </c>
      <c r="J15" s="3" t="n"/>
      <c r="K15" s="42" t="n"/>
    </row>
    <row r="16" ht="28.5" customHeight="1" s="36">
      <c r="A16" s="32" t="inlineStr">
        <is>
          <t>თანამშრომელი 15</t>
        </is>
      </c>
      <c r="B16" s="19" t="inlineStr">
        <is>
          <t>მიმტანი</t>
        </is>
      </c>
      <c r="C16" s="33" t="inlineStr">
        <is>
          <t>დღეში 50  ლ</t>
        </is>
      </c>
      <c r="D16" s="34" t="n"/>
      <c r="E16" s="34" t="n"/>
      <c r="F16" s="34" t="n"/>
      <c r="G16" s="34" t="n"/>
      <c r="H16" s="25" t="n"/>
      <c r="I16" s="60" t="n">
        <v>700</v>
      </c>
      <c r="J16" s="3" t="n">
        <v>700</v>
      </c>
      <c r="K16" s="39" t="n"/>
    </row>
    <row r="17" ht="28.5" customHeight="1" s="36">
      <c r="A17" s="32" t="inlineStr">
        <is>
          <t>თანამშრომელი 16</t>
        </is>
      </c>
      <c r="B17" s="19" t="inlineStr">
        <is>
          <t>სერვის ლიდერი</t>
        </is>
      </c>
      <c r="C17" s="33" t="inlineStr">
        <is>
          <t>დღეში 60 ლარი</t>
        </is>
      </c>
      <c r="D17" s="34" t="n"/>
      <c r="E17" s="34" t="n"/>
      <c r="F17" s="34" t="n"/>
      <c r="G17" s="34" t="n"/>
      <c r="H17" s="25" t="n"/>
      <c r="I17" s="60" t="n">
        <v>825</v>
      </c>
      <c r="J17" s="3" t="n">
        <v>825</v>
      </c>
      <c r="K17" s="58" t="n"/>
    </row>
    <row r="18" ht="28.5" customHeight="1" s="36">
      <c r="A18" s="32" t="inlineStr">
        <is>
          <t>თანამშრომელი 17</t>
        </is>
      </c>
      <c r="B18" s="19" t="inlineStr">
        <is>
          <t>ბარმენი</t>
        </is>
      </c>
      <c r="C18" s="33" t="inlineStr">
        <is>
          <t>დღეში 60 ლარი</t>
        </is>
      </c>
      <c r="D18" s="34" t="n"/>
      <c r="E18" s="34" t="n"/>
      <c r="F18" s="34" t="n"/>
      <c r="G18" s="34" t="n"/>
      <c r="H18" s="25" t="n"/>
      <c r="I18" s="37" t="n">
        <v>880</v>
      </c>
      <c r="J18" s="3" t="n"/>
      <c r="K18" s="58" t="n"/>
    </row>
    <row r="19" ht="28.5" customHeight="1" s="36">
      <c r="A19" s="32" t="inlineStr">
        <is>
          <t>თანამშრომელი 18</t>
        </is>
      </c>
      <c r="B19" s="19" t="inlineStr">
        <is>
          <t>ბარმენი</t>
        </is>
      </c>
      <c r="C19" s="33" t="inlineStr">
        <is>
          <t xml:space="preserve">დღეში 60 ლარი </t>
        </is>
      </c>
      <c r="D19" s="34" t="n"/>
      <c r="E19" s="34" t="n"/>
      <c r="F19" s="34" t="n"/>
      <c r="G19" s="34" t="n"/>
      <c r="H19" s="25" t="n"/>
      <c r="I19" s="60" t="n">
        <v>240</v>
      </c>
      <c r="J19" s="3" t="n"/>
      <c r="K19" s="58" t="n"/>
    </row>
    <row r="20" ht="28.5" customFormat="1" customHeight="1" s="43">
      <c r="A20" s="49" t="inlineStr">
        <is>
          <t>თანამშრომელი 19</t>
        </is>
      </c>
      <c r="B20" s="50" t="inlineStr">
        <is>
          <t>ბარმენი</t>
        </is>
      </c>
      <c r="C20" s="51" t="inlineStr">
        <is>
          <t>დღეში 60 ლარი</t>
        </is>
      </c>
      <c r="D20" s="52" t="n"/>
      <c r="E20" s="53" t="n"/>
      <c r="F20" s="51" t="n"/>
      <c r="G20" s="52" t="n"/>
      <c r="H20" s="48" t="n"/>
      <c r="I20" s="60" t="n">
        <v>1440</v>
      </c>
      <c r="J20" s="3" t="n"/>
      <c r="K20" s="42" t="n"/>
    </row>
    <row r="21" ht="33.75" customHeight="1" s="36">
      <c r="A21" s="32" t="inlineStr">
        <is>
          <t>თანამშრომელი 20</t>
        </is>
      </c>
      <c r="B21" s="19" t="inlineStr">
        <is>
          <t>F&amp;B მენეჯერი-სერვის მენეჯერი</t>
        </is>
      </c>
      <c r="C21" s="33" t="n">
        <v>3000</v>
      </c>
      <c r="D21" s="34" t="n"/>
      <c r="E21" s="34" t="n"/>
      <c r="F21" s="39" t="n"/>
      <c r="G21" s="34" t="n"/>
      <c r="H21" s="25" t="n"/>
      <c r="I21" s="37" t="n">
        <v>1000</v>
      </c>
      <c r="J21" s="3" t="n">
        <v>2000</v>
      </c>
      <c r="K21" s="39" t="n"/>
    </row>
    <row r="22" ht="24" customFormat="1" customHeight="1" s="43">
      <c r="A22" s="54" t="inlineStr">
        <is>
          <t>თანამშრომელი 21</t>
        </is>
      </c>
      <c r="B22" s="54" t="inlineStr">
        <is>
          <t>დიასახლისი</t>
        </is>
      </c>
      <c r="C22" s="55" t="n">
        <v>1000</v>
      </c>
      <c r="D22" s="55" t="n"/>
      <c r="E22" s="48" t="n"/>
      <c r="F22" s="48" t="n"/>
      <c r="G22" s="48" t="n">
        <v>90</v>
      </c>
      <c r="H22" s="48" t="n"/>
      <c r="I22" s="61" t="n">
        <v>390</v>
      </c>
      <c r="J22" s="3" t="n">
        <v>700</v>
      </c>
      <c r="K22" s="42" t="n"/>
    </row>
    <row r="23" ht="24" customFormat="1" customHeight="1" s="43">
      <c r="A23" s="54" t="inlineStr">
        <is>
          <t>თანამშრომელი 22</t>
        </is>
      </c>
      <c r="B23" s="54" t="inlineStr">
        <is>
          <t>დიასახლისი</t>
        </is>
      </c>
      <c r="C23" s="55" t="inlineStr">
        <is>
          <t>დღეში 40 ლარი</t>
        </is>
      </c>
      <c r="D23" s="55" t="n"/>
      <c r="E23" s="48" t="n"/>
      <c r="F23" s="48" t="n"/>
      <c r="G23" s="48" t="n"/>
      <c r="H23" s="48" t="n"/>
      <c r="I23" s="61" t="n">
        <v>280</v>
      </c>
      <c r="J23" s="3" t="n"/>
      <c r="K23" s="42" t="n"/>
    </row>
    <row r="24" ht="24" customFormat="1" customHeight="1" s="43">
      <c r="A24" s="54" t="inlineStr">
        <is>
          <t>თანამშრომელი 23</t>
        </is>
      </c>
      <c r="B24" s="54" t="inlineStr">
        <is>
          <t>დიასახლისი</t>
        </is>
      </c>
      <c r="C24" s="55" t="inlineStr">
        <is>
          <t>დღეში 40 ლარი</t>
        </is>
      </c>
      <c r="D24" s="55" t="n"/>
      <c r="E24" s="48" t="n"/>
      <c r="F24" s="48" t="n"/>
      <c r="G24" s="48" t="n"/>
      <c r="H24" s="48" t="n"/>
      <c r="I24" s="61" t="n">
        <v>240</v>
      </c>
      <c r="J24" s="3" t="n"/>
      <c r="K24" s="42" t="n"/>
    </row>
    <row r="25" ht="24" customFormat="1" customHeight="1" s="43">
      <c r="A25" s="54" t="inlineStr">
        <is>
          <t>თანამშრომელი 24</t>
        </is>
      </c>
      <c r="B25" s="54" t="inlineStr">
        <is>
          <t>დიასახლისი</t>
        </is>
      </c>
      <c r="C25" s="55" t="inlineStr">
        <is>
          <t>დღეში 40 ლარი</t>
        </is>
      </c>
      <c r="D25" s="55" t="n"/>
      <c r="E25" s="48" t="n"/>
      <c r="F25" s="48" t="n"/>
      <c r="G25" s="48" t="n"/>
      <c r="H25" s="48" t="n"/>
      <c r="I25" s="61" t="n">
        <v>600</v>
      </c>
      <c r="J25" s="3" t="n"/>
      <c r="K25" s="42" t="n"/>
    </row>
    <row r="26" ht="33" customFormat="1" customHeight="1" s="43">
      <c r="A26" s="50" t="inlineStr">
        <is>
          <t>თანამშრომელი 25</t>
        </is>
      </c>
      <c r="B26" s="54" t="inlineStr">
        <is>
          <t>დიასახლისი</t>
        </is>
      </c>
      <c r="C26" s="51" t="n">
        <v>900</v>
      </c>
      <c r="D26" s="51" t="n"/>
      <c r="E26" s="48" t="n"/>
      <c r="F26" s="52" t="n"/>
      <c r="G26" s="52" t="n">
        <v>60</v>
      </c>
      <c r="H26" s="48" t="n"/>
      <c r="I26" s="61" t="n">
        <v>360</v>
      </c>
      <c r="J26" s="3" t="n">
        <v>600</v>
      </c>
      <c r="K26" s="42" t="n"/>
    </row>
    <row r="27" ht="33" customFormat="1" customHeight="1" s="43">
      <c r="A27" s="50" t="inlineStr">
        <is>
          <t>თანამშრომელი 26</t>
        </is>
      </c>
      <c r="B27" s="54" t="inlineStr">
        <is>
          <t>დიასახლისი</t>
        </is>
      </c>
      <c r="C27" s="51" t="n">
        <v>900</v>
      </c>
      <c r="D27" s="51" t="inlineStr">
        <is>
          <t>დიასახლისი</t>
        </is>
      </c>
      <c r="E27" s="48" t="n"/>
      <c r="F27" s="52" t="n"/>
      <c r="G27" s="52" t="n">
        <v>90</v>
      </c>
      <c r="H27" s="48" t="n"/>
      <c r="I27" s="27" t="n">
        <v>690</v>
      </c>
      <c r="J27" s="3" t="n">
        <v>300</v>
      </c>
      <c r="K27" s="59" t="n"/>
    </row>
    <row r="28" ht="33.75" customFormat="1" customHeight="1" s="43">
      <c r="A28" s="50" t="inlineStr">
        <is>
          <t>თანამშრომელი 27</t>
        </is>
      </c>
      <c r="B28" s="50" t="inlineStr">
        <is>
          <t>სარეცხი/უთო</t>
        </is>
      </c>
      <c r="C28" s="51" t="n">
        <v>900</v>
      </c>
      <c r="D28" s="51" t="n"/>
      <c r="E28" s="52" t="n"/>
      <c r="F28" s="52" t="n"/>
      <c r="G28" s="52" t="n"/>
      <c r="H28" s="48" t="n"/>
      <c r="I28" s="27" t="n">
        <v>500</v>
      </c>
      <c r="J28" s="3" t="n">
        <v>400</v>
      </c>
      <c r="K28" s="42" t="n"/>
    </row>
    <row r="29" ht="30.75" customFormat="1" customHeight="1" s="43">
      <c r="A29" s="50" t="inlineStr">
        <is>
          <t>თანამშრომელი 28</t>
        </is>
      </c>
      <c r="B29" s="54" t="inlineStr">
        <is>
          <t>დიასახლისი</t>
        </is>
      </c>
      <c r="C29" s="51" t="n">
        <v>900</v>
      </c>
      <c r="D29" s="51" t="n"/>
      <c r="E29" s="52" t="n"/>
      <c r="F29" s="52" t="n"/>
      <c r="G29" s="52" t="n">
        <v>120</v>
      </c>
      <c r="H29" s="48" t="n"/>
      <c r="I29" s="61" t="n">
        <v>470</v>
      </c>
      <c r="J29" s="3" t="n">
        <v>200</v>
      </c>
      <c r="K29" s="42" t="n"/>
    </row>
    <row r="30" ht="35.25" customHeight="1" s="36">
      <c r="A30" s="32" t="inlineStr">
        <is>
          <t>თანამშრომელი 29</t>
        </is>
      </c>
      <c r="B30" s="19" t="inlineStr">
        <is>
          <t>დაცვა</t>
        </is>
      </c>
      <c r="C30" s="18" t="inlineStr">
        <is>
          <t>დღეში 60 ლ</t>
        </is>
      </c>
      <c r="D30" s="18" t="n"/>
      <c r="E30" s="4" t="n"/>
      <c r="F30" s="4" t="n"/>
      <c r="G30" s="4" t="n"/>
      <c r="H30" s="25" t="n"/>
      <c r="I30" s="27" t="n">
        <v>200</v>
      </c>
      <c r="J30" s="3" t="n">
        <v>400</v>
      </c>
      <c r="K30" s="39" t="n"/>
    </row>
    <row r="31" ht="30" customHeight="1" s="36">
      <c r="A31" s="32" t="inlineStr">
        <is>
          <t>თანამშრომელი 30</t>
        </is>
      </c>
      <c r="B31" s="19" t="inlineStr">
        <is>
          <t>დაცვა</t>
        </is>
      </c>
      <c r="C31" s="18" t="inlineStr">
        <is>
          <t>დღეში 60 ლ</t>
        </is>
      </c>
      <c r="D31" s="33" t="n"/>
      <c r="E31" s="34" t="n"/>
      <c r="F31" s="34" t="n"/>
      <c r="G31" s="34" t="n"/>
      <c r="H31" s="25" t="n"/>
      <c r="I31" s="27" t="n">
        <v>200</v>
      </c>
      <c r="J31" s="3" t="n">
        <v>400</v>
      </c>
      <c r="K31" s="39" t="n"/>
    </row>
    <row r="32" ht="30" customHeight="1" s="36">
      <c r="A32" s="32" t="inlineStr">
        <is>
          <t>თანამშრომელი 31</t>
        </is>
      </c>
      <c r="B32" s="19" t="inlineStr">
        <is>
          <t>დაცვა</t>
        </is>
      </c>
      <c r="C32" s="18" t="inlineStr">
        <is>
          <t>დღეში 60 ლ</t>
        </is>
      </c>
      <c r="D32" s="33" t="n"/>
      <c r="E32" s="34" t="n"/>
      <c r="F32" s="34" t="n"/>
      <c r="G32" s="34" t="n"/>
      <c r="H32" s="25" t="n"/>
      <c r="I32" s="27" t="n">
        <v>200</v>
      </c>
      <c r="J32" s="3" t="n">
        <v>400</v>
      </c>
      <c r="K32" s="39" t="n"/>
    </row>
    <row r="33" ht="30.75" customFormat="1" customHeight="1" s="43">
      <c r="A33" s="49" t="inlineStr">
        <is>
          <t>თანამშრომელი 32</t>
        </is>
      </c>
      <c r="B33" s="50" t="inlineStr">
        <is>
          <t>ჭურჭლის მრეცხავი</t>
        </is>
      </c>
      <c r="C33" s="51" t="n">
        <v>900</v>
      </c>
      <c r="D33" s="51" t="n"/>
      <c r="E33" s="52" t="n"/>
      <c r="F33" s="52" t="n"/>
      <c r="G33" s="52" t="n"/>
      <c r="H33" s="48" t="n"/>
      <c r="I33" s="27" t="n">
        <v>700</v>
      </c>
      <c r="J33" s="3" t="n">
        <v>200</v>
      </c>
      <c r="K33" s="42" t="n"/>
    </row>
    <row r="34" ht="30.75" customHeight="1" s="36">
      <c r="A34" s="19" t="inlineStr">
        <is>
          <t>თანამშრომელი 33</t>
        </is>
      </c>
      <c r="B34" s="19" t="inlineStr">
        <is>
          <t>გენ.მენეჯერი</t>
        </is>
      </c>
      <c r="C34" s="33" t="n">
        <v>5000</v>
      </c>
      <c r="D34" s="33" t="n"/>
      <c r="E34" s="34" t="n"/>
      <c r="F34" s="34" t="n"/>
      <c r="G34" s="34" t="n"/>
      <c r="H34" s="25" t="n"/>
      <c r="I34" s="27" t="n"/>
      <c r="J34" s="3" t="n">
        <v>4000</v>
      </c>
      <c r="K34" s="39" t="n"/>
    </row>
    <row r="35" ht="27" customHeight="1" s="36">
      <c r="A35" s="32" t="inlineStr">
        <is>
          <t>თანამშრომელი 34</t>
        </is>
      </c>
      <c r="B35" s="19" t="inlineStr">
        <is>
          <t>მარკეტინგი და პიარი</t>
        </is>
      </c>
      <c r="C35" s="34" t="n">
        <v>1000</v>
      </c>
      <c r="D35" s="34" t="n"/>
      <c r="E35" s="34" t="n"/>
      <c r="F35" s="34" t="n"/>
      <c r="G35" s="34" t="n"/>
      <c r="H35" s="25" t="n"/>
      <c r="I35" s="29" t="n"/>
      <c r="J35" s="3" t="n">
        <v>1000</v>
      </c>
      <c r="K35" s="39" t="n"/>
    </row>
    <row r="36" ht="36" customHeight="1" s="36">
      <c r="A36" s="32" t="inlineStr">
        <is>
          <t>თანამშრომელი 35</t>
        </is>
      </c>
      <c r="B36" s="19" t="inlineStr">
        <is>
          <t>მთავარი ბუღალტერი</t>
        </is>
      </c>
      <c r="C36" s="34" t="n">
        <v>2050</v>
      </c>
      <c r="D36" s="34" t="n"/>
      <c r="E36" s="34" t="n"/>
      <c r="F36" s="34" t="n"/>
      <c r="G36" s="34" t="n"/>
      <c r="H36" s="25" t="n"/>
      <c r="I36" s="29" t="n"/>
      <c r="J36" s="3" t="n">
        <v>2050</v>
      </c>
      <c r="K36" s="39" t="n"/>
    </row>
    <row r="37" ht="34.2" customHeight="1" s="36" thickBot="1">
      <c r="A37" s="14" t="inlineStr">
        <is>
          <t>თანამშრომელი 36</t>
        </is>
      </c>
      <c r="B37" s="15" t="inlineStr">
        <is>
          <t>ბუღალტერი</t>
        </is>
      </c>
      <c r="C37" s="26" t="n">
        <v>700</v>
      </c>
      <c r="D37" s="26" t="n"/>
      <c r="E37" s="26" t="n"/>
      <c r="F37" s="26" t="n"/>
      <c r="G37" s="26" t="n"/>
      <c r="H37" s="26" t="n"/>
      <c r="I37" s="30" t="n"/>
      <c r="J37" s="7" t="n">
        <v>700</v>
      </c>
      <c r="K37" s="39" t="n"/>
    </row>
    <row r="38" ht="27.6" customHeight="1" s="36">
      <c r="H38" s="24">
        <f>SUM(H2:H37)</f>
        <v/>
      </c>
      <c r="I38" s="24">
        <f>SUM(I2:I37)</f>
        <v/>
      </c>
      <c r="J38" s="24">
        <f>SUM(J2:J37)</f>
        <v/>
      </c>
    </row>
    <row r="39"/>
    <row r="40">
      <c r="B40" s="6" t="n"/>
      <c r="J40" s="6">
        <f>I38+J38</f>
        <v/>
      </c>
    </row>
    <row r="41">
      <c r="B41" s="6" t="n"/>
    </row>
    <row r="42">
      <c r="B42" s="6" t="n"/>
    </row>
    <row r="43">
      <c r="B43" s="6" t="n"/>
    </row>
    <row r="44">
      <c r="B44" s="6" t="n"/>
    </row>
    <row r="45">
      <c r="B45" s="6" t="n"/>
    </row>
    <row r="46">
      <c r="B46" s="6" t="n"/>
    </row>
    <row r="47">
      <c r="B47" s="6" t="n"/>
    </row>
  </sheetData>
  <autoFilter ref="A1:A47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anonymized</dc:creator>
  <dcterms:created xsi:type="dcterms:W3CDTF">2015-06-05T18:17:20Z</dcterms:created>
  <dcterms:modified xsi:type="dcterms:W3CDTF">2026-10-30T22:37:29Z</dcterms:modified>
  <cp:lastModifiedBy>anonymized</cp:lastModifiedBy>
</cp:coreProperties>
</file>